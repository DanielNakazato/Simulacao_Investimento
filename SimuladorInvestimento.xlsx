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49CB7D0-581B-46BA-9FE3-ED500DDEF1FE}" xr6:coauthVersionLast="47" xr6:coauthVersionMax="47" xr10:uidLastSave="{00000000-0000-0000-0000-000000000000}"/>
  <bookViews>
    <workbookView xWindow="-120" yWindow="-120" windowWidth="51840" windowHeight="21120" xr2:uid="{1A7C0DE7-834E-42C7-AE1A-7F69C20CCF7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F36" i="1" s="1"/>
  <c r="D35" i="1"/>
  <c r="F35" i="1" s="1"/>
  <c r="D37" i="1"/>
  <c r="F37" i="1" s="1"/>
  <c r="D38" i="1"/>
  <c r="F38" i="1" s="1"/>
  <c r="D34" i="1"/>
  <c r="F34" i="1" s="1"/>
  <c r="A19" i="2"/>
  <c r="A18" i="2"/>
  <c r="A17" i="2"/>
  <c r="A16" i="2"/>
  <c r="A15" i="2"/>
  <c r="A14" i="2"/>
  <c r="A13" i="2"/>
  <c r="D39" i="1" s="1"/>
  <c r="F39" i="1" s="1"/>
  <c r="A12" i="2"/>
  <c r="A11" i="2"/>
  <c r="A10" i="2"/>
  <c r="A9" i="2"/>
  <c r="A8" i="2"/>
  <c r="A7" i="2"/>
  <c r="A6" i="2"/>
  <c r="A5" i="2"/>
  <c r="A4" i="2"/>
  <c r="A3" i="2"/>
  <c r="A2" i="2"/>
  <c r="F23" i="1"/>
  <c r="F24" i="1"/>
  <c r="F25" i="1"/>
  <c r="F26" i="1"/>
  <c r="F22" i="1"/>
  <c r="D23" i="1"/>
  <c r="D24" i="1"/>
  <c r="D25" i="1"/>
  <c r="D26" i="1"/>
  <c r="D22" i="1"/>
  <c r="F17" i="1"/>
  <c r="F18" i="1" s="1"/>
  <c r="F14" i="1"/>
  <c r="F10" i="1"/>
  <c r="F40" i="1" l="1"/>
</calcChain>
</file>

<file path=xl/sharedStrings.xml><?xml version="1.0" encoding="utf-8"?>
<sst xmlns="http://schemas.openxmlformats.org/spreadsheetml/2006/main" count="70" uniqueCount="35">
  <si>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</si>
  <si>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</si>
  <si>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</si>
  <si>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</si>
  <si>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</si>
  <si>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</si>
  <si>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</si>
  <si>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</si>
  <si>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</si>
  <si>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</si>
  <si>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</si>
  <si>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Dividendo</t>
  </si>
  <si>
    <t>Em 2 anos</t>
  </si>
  <si>
    <t>Em 5 anos</t>
  </si>
  <si>
    <t>Em 10 anos</t>
  </si>
  <si>
    <t>Em 20 anos</t>
  </si>
  <si>
    <t>Em 30 anos</t>
  </si>
  <si>
    <t>PERFIL</t>
  </si>
  <si>
    <t>CONSERVADOR</t>
  </si>
  <si>
    <t>VALOR A SER INVESTIDO POR MÊS</t>
  </si>
  <si>
    <t>TIPO DE FII</t>
  </si>
  <si>
    <t>PORCENTUAL SUGERIDO</t>
  </si>
  <si>
    <t>VALORES</t>
  </si>
  <si>
    <t>PAPEL</t>
  </si>
  <si>
    <t>TIJOLO</t>
  </si>
  <si>
    <t>FOFs</t>
  </si>
  <si>
    <t>DESENVOLVIMENTO</t>
  </si>
  <si>
    <t>HOTELARIA</t>
  </si>
  <si>
    <t>CHAVE</t>
  </si>
  <si>
    <t>%</t>
  </si>
  <si>
    <t>Conservador</t>
  </si>
  <si>
    <t>HÍBRIDOS</t>
  </si>
  <si>
    <t>Moderado</t>
  </si>
  <si>
    <t>Agressivo</t>
  </si>
  <si>
    <t>SIMULADOR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</si>
</sst>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44" fontId="0" fillId="4" borderId="11" xfId="1" applyFont="1" applyFill="1" applyBorder="1" applyAlignment="1">
      <alignment horizontal="center" vertical="center"/>
    </xf>
    <xf numFmtId="44" fontId="0" fillId="4" borderId="12" xfId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9" fontId="0" fillId="4" borderId="9" xfId="2" applyFont="1" applyFill="1" applyBorder="1" applyAlignment="1">
      <alignment horizontal="center" vertical="center"/>
    </xf>
    <xf numFmtId="9" fontId="0" fillId="4" borderId="14" xfId="2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44" fontId="0" fillId="4" borderId="16" xfId="1" applyFont="1" applyFill="1" applyBorder="1" applyAlignment="1">
      <alignment horizontal="center" vertical="center"/>
    </xf>
    <xf numFmtId="44" fontId="0" fillId="4" borderId="17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44" fontId="0" fillId="5" borderId="14" xfId="1" applyFont="1" applyFill="1" applyBorder="1" applyAlignment="1">
      <alignment horizontal="center"/>
    </xf>
    <xf numFmtId="44" fontId="0" fillId="5" borderId="16" xfId="1" applyFont="1" applyFill="1" applyBorder="1" applyAlignment="1">
      <alignment horizontal="center"/>
    </xf>
    <xf numFmtId="44" fontId="0" fillId="5" borderId="17" xfId="1" applyFont="1" applyFill="1" applyBorder="1" applyAlignment="1">
      <alignment horizontal="center"/>
    </xf>
    <xf numFmtId="1" fontId="0" fillId="4" borderId="9" xfId="2" applyNumberFormat="1" applyFont="1" applyFill="1" applyBorder="1" applyAlignment="1">
      <alignment horizontal="center" vertical="center"/>
    </xf>
    <xf numFmtId="1" fontId="0" fillId="4" borderId="14" xfId="2" applyNumberFormat="1" applyFont="1" applyFill="1" applyBorder="1" applyAlignment="1">
      <alignment horizontal="center" vertical="center"/>
    </xf>
    <xf numFmtId="10" fontId="0" fillId="4" borderId="16" xfId="2" applyNumberFormat="1" applyFont="1" applyFill="1" applyBorder="1" applyAlignment="1">
      <alignment horizontal="center" vertical="center"/>
    </xf>
    <xf numFmtId="10" fontId="0" fillId="4" borderId="17" xfId="2" applyNumberFormat="1" applyFont="1" applyFill="1" applyBorder="1" applyAlignment="1">
      <alignment horizontal="center" vertical="center"/>
    </xf>
    <xf numFmtId="8" fontId="0" fillId="5" borderId="9" xfId="1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3" fillId="0" borderId="0" xfId="0" applyNumberFormat="1" applyFont="1"/>
    <xf numFmtId="0" fontId="0" fillId="4" borderId="9" xfId="0" applyFill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8" fontId="0" fillId="4" borderId="11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8" fontId="0" fillId="4" borderId="16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8" fontId="0" fillId="4" borderId="11" xfId="1" applyNumberFormat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8" fontId="0" fillId="4" borderId="9" xfId="1" applyNumberFormat="1" applyFont="1" applyFill="1" applyBorder="1" applyAlignment="1">
      <alignment horizontal="center"/>
    </xf>
    <xf numFmtId="44" fontId="0" fillId="4" borderId="9" xfId="1" applyFont="1" applyFill="1" applyBorder="1" applyAlignment="1">
      <alignment horizontal="center"/>
    </xf>
    <xf numFmtId="8" fontId="0" fillId="4" borderId="16" xfId="1" applyNumberFormat="1" applyFont="1" applyFill="1" applyBorder="1" applyAlignment="1">
      <alignment horizontal="center"/>
    </xf>
    <xf numFmtId="44" fontId="0" fillId="4" borderId="16" xfId="1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44" fontId="0" fillId="4" borderId="18" xfId="1" applyFont="1" applyFill="1" applyBorder="1" applyAlignment="1">
      <alignment horizontal="center"/>
    </xf>
    <xf numFmtId="44" fontId="0" fillId="4" borderId="20" xfId="1" applyFon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8" xfId="0" applyFont="1" applyFill="1" applyBorder="1" applyAlignment="1">
      <alignment horizontal="center"/>
    </xf>
    <xf numFmtId="0" fontId="0" fillId="6" borderId="20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44" fontId="7" fillId="6" borderId="0" xfId="1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B28D-5BCA-4BC0-95E3-67B6F5A7C735}">
  <dimension ref="A1:H40"/>
  <sheetViews>
    <sheetView tabSelected="1" workbookViewId="0">
      <selection activeCell="K9" sqref="K9"/>
    </sheetView>
  </sheetViews>
  <sheetFormatPr defaultRowHeight="15" x14ac:dyDescent="0.25"/>
  <cols>
    <col min="3" max="3" width="10.140625" customWidth="1"/>
    <col min="4" max="4" width="11.5703125" customWidth="1"/>
    <col min="5" max="5" width="12" customWidth="1"/>
  </cols>
  <sheetData>
    <row r="1" spans="1:8" x14ac:dyDescent="0.25">
      <c r="A1" s="3" t="s">
        <v>34</v>
      </c>
      <c r="B1" s="3"/>
      <c r="C1" s="3"/>
      <c r="D1" s="3"/>
      <c r="E1" s="3"/>
      <c r="F1" s="3"/>
      <c r="G1" s="3"/>
      <c r="H1" s="3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ht="15.75" thickBot="1" x14ac:dyDescent="0.3"/>
    <row r="6" spans="1:8" ht="15" customHeight="1" x14ac:dyDescent="0.25">
      <c r="B6" s="17" t="s">
        <v>0</v>
      </c>
      <c r="C6" s="18"/>
      <c r="D6" s="18"/>
      <c r="E6" s="18"/>
      <c r="F6" s="18"/>
      <c r="G6" s="19"/>
    </row>
    <row r="7" spans="1:8" ht="15.75" customHeight="1" thickBot="1" x14ac:dyDescent="0.3">
      <c r="B7" s="23"/>
      <c r="C7" s="24"/>
      <c r="D7" s="24"/>
      <c r="E7" s="24"/>
      <c r="F7" s="24"/>
      <c r="G7" s="25"/>
    </row>
    <row r="8" spans="1:8" x14ac:dyDescent="0.25">
      <c r="B8" s="5" t="s">
        <v>1</v>
      </c>
      <c r="C8" s="6"/>
      <c r="D8" s="6"/>
      <c r="E8" s="6"/>
      <c r="F8" s="7">
        <v>2000</v>
      </c>
      <c r="G8" s="8"/>
    </row>
    <row r="9" spans="1:8" x14ac:dyDescent="0.25">
      <c r="B9" s="9" t="s">
        <v>2</v>
      </c>
      <c r="C9" s="10"/>
      <c r="D9" s="10"/>
      <c r="E9" s="10"/>
      <c r="F9" s="11">
        <v>0.01</v>
      </c>
      <c r="G9" s="12"/>
    </row>
    <row r="10" spans="1:8" ht="15.75" thickBot="1" x14ac:dyDescent="0.3">
      <c r="B10" s="13" t="s">
        <v>3</v>
      </c>
      <c r="C10" s="14"/>
      <c r="D10" s="14"/>
      <c r="E10" s="14"/>
      <c r="F10" s="15">
        <f>F8*30%</f>
        <v>600</v>
      </c>
      <c r="G10" s="16"/>
    </row>
    <row r="11" spans="1:8" ht="15.75" thickBot="1" x14ac:dyDescent="0.3"/>
    <row r="12" spans="1:8" ht="15" customHeight="1" x14ac:dyDescent="0.25">
      <c r="B12" s="17" t="s">
        <v>4</v>
      </c>
      <c r="C12" s="18"/>
      <c r="D12" s="18"/>
      <c r="E12" s="18"/>
      <c r="F12" s="18"/>
      <c r="G12" s="19"/>
    </row>
    <row r="13" spans="1:8" ht="15" customHeight="1" thickBot="1" x14ac:dyDescent="0.3">
      <c r="B13" s="20"/>
      <c r="C13" s="21"/>
      <c r="D13" s="21"/>
      <c r="E13" s="21"/>
      <c r="F13" s="21"/>
      <c r="G13" s="22"/>
    </row>
    <row r="14" spans="1:8" x14ac:dyDescent="0.25">
      <c r="B14" s="5" t="s">
        <v>5</v>
      </c>
      <c r="C14" s="6"/>
      <c r="D14" s="6"/>
      <c r="E14" s="6"/>
      <c r="F14" s="7">
        <f>F8*0.1</f>
        <v>200</v>
      </c>
      <c r="G14" s="8"/>
    </row>
    <row r="15" spans="1:8" x14ac:dyDescent="0.25">
      <c r="B15" s="9" t="s">
        <v>6</v>
      </c>
      <c r="C15" s="10"/>
      <c r="D15" s="10"/>
      <c r="E15" s="10"/>
      <c r="F15" s="33">
        <v>5</v>
      </c>
      <c r="G15" s="34"/>
    </row>
    <row r="16" spans="1:8" ht="15.75" thickBot="1" x14ac:dyDescent="0.3">
      <c r="B16" s="13" t="s">
        <v>7</v>
      </c>
      <c r="C16" s="14"/>
      <c r="D16" s="14"/>
      <c r="E16" s="14"/>
      <c r="F16" s="35">
        <v>1.0800000000000001E-2</v>
      </c>
      <c r="G16" s="36"/>
    </row>
    <row r="17" spans="1:7" x14ac:dyDescent="0.25">
      <c r="B17" s="26" t="s">
        <v>8</v>
      </c>
      <c r="C17" s="27"/>
      <c r="D17" s="27"/>
      <c r="E17" s="27"/>
      <c r="F17" s="37">
        <f>FV(F16,F15*12,F14*-1)</f>
        <v>16760.803871851687</v>
      </c>
      <c r="G17" s="30"/>
    </row>
    <row r="18" spans="1:7" ht="15.75" thickBot="1" x14ac:dyDescent="0.3">
      <c r="B18" s="28" t="s">
        <v>9</v>
      </c>
      <c r="C18" s="29"/>
      <c r="D18" s="29"/>
      <c r="E18" s="29"/>
      <c r="F18" s="31">
        <f>F17*F9</f>
        <v>167.60803871851687</v>
      </c>
      <c r="G18" s="32"/>
    </row>
    <row r="19" spans="1:7" ht="15.75" thickBot="1" x14ac:dyDescent="0.3"/>
    <row r="20" spans="1:7" ht="15" customHeight="1" x14ac:dyDescent="0.25">
      <c r="B20" s="17" t="s">
        <v>10</v>
      </c>
      <c r="C20" s="18"/>
      <c r="D20" s="18"/>
      <c r="E20" s="18"/>
      <c r="F20" s="38" t="s">
        <v>11</v>
      </c>
      <c r="G20" s="39"/>
    </row>
    <row r="21" spans="1:7" ht="15" customHeight="1" thickBot="1" x14ac:dyDescent="0.3">
      <c r="B21" s="20"/>
      <c r="C21" s="21"/>
      <c r="D21" s="21"/>
      <c r="E21" s="21"/>
      <c r="F21" s="40"/>
      <c r="G21" s="41"/>
    </row>
    <row r="22" spans="1:7" x14ac:dyDescent="0.25">
      <c r="A22" s="42">
        <v>2</v>
      </c>
      <c r="B22" s="45" t="s">
        <v>12</v>
      </c>
      <c r="C22" s="46"/>
      <c r="D22" s="55">
        <f>FV($F$16,$A22*12,$F$14*-1)</f>
        <v>5446.172732116318</v>
      </c>
      <c r="E22" s="56"/>
      <c r="F22" s="47">
        <f>D22*$F$9</f>
        <v>54.461727321163181</v>
      </c>
      <c r="G22" s="48"/>
    </row>
    <row r="23" spans="1:7" x14ac:dyDescent="0.25">
      <c r="A23" s="42">
        <v>5</v>
      </c>
      <c r="B23" s="49" t="s">
        <v>13</v>
      </c>
      <c r="C23" s="43"/>
      <c r="D23" s="57">
        <f t="shared" ref="D23:D26" si="0">FV($F$16,$A23*12,$F$14*-1)</f>
        <v>16760.803871851687</v>
      </c>
      <c r="E23" s="58"/>
      <c r="F23" s="44">
        <f t="shared" ref="F23:F26" si="1">D23*$F$9</f>
        <v>167.60803871851687</v>
      </c>
      <c r="G23" s="50"/>
    </row>
    <row r="24" spans="1:7" x14ac:dyDescent="0.25">
      <c r="A24" s="42">
        <v>10</v>
      </c>
      <c r="B24" s="49" t="s">
        <v>14</v>
      </c>
      <c r="C24" s="43"/>
      <c r="D24" s="57">
        <f t="shared" si="0"/>
        <v>48691.533250960019</v>
      </c>
      <c r="E24" s="58"/>
      <c r="F24" s="44">
        <f t="shared" si="1"/>
        <v>486.9153325096002</v>
      </c>
      <c r="G24" s="50"/>
    </row>
    <row r="25" spans="1:7" x14ac:dyDescent="0.25">
      <c r="A25" s="42">
        <v>20</v>
      </c>
      <c r="B25" s="49" t="s">
        <v>15</v>
      </c>
      <c r="C25" s="43"/>
      <c r="D25" s="57">
        <f t="shared" si="0"/>
        <v>225409.79865970465</v>
      </c>
      <c r="E25" s="58"/>
      <c r="F25" s="44">
        <f t="shared" si="1"/>
        <v>2254.0979865970467</v>
      </c>
      <c r="G25" s="50"/>
    </row>
    <row r="26" spans="1:7" ht="15.75" thickBot="1" x14ac:dyDescent="0.3">
      <c r="A26" s="42">
        <v>30</v>
      </c>
      <c r="B26" s="51" t="s">
        <v>16</v>
      </c>
      <c r="C26" s="52"/>
      <c r="D26" s="59">
        <f t="shared" si="0"/>
        <v>866780.96206335025</v>
      </c>
      <c r="E26" s="60"/>
      <c r="F26" s="53">
        <f t="shared" si="1"/>
        <v>8667.8096206335031</v>
      </c>
      <c r="G26" s="54"/>
    </row>
    <row r="29" spans="1:7" ht="15.75" thickBot="1" x14ac:dyDescent="0.3"/>
    <row r="30" spans="1:7" ht="15.75" thickBot="1" x14ac:dyDescent="0.3">
      <c r="B30" s="61" t="s">
        <v>17</v>
      </c>
      <c r="C30" s="62"/>
      <c r="D30" s="62"/>
      <c r="E30" s="63"/>
      <c r="F30" s="62" t="s">
        <v>18</v>
      </c>
      <c r="G30" s="63"/>
    </row>
    <row r="31" spans="1:7" ht="15.75" thickBot="1" x14ac:dyDescent="0.3">
      <c r="B31" s="64" t="s">
        <v>19</v>
      </c>
      <c r="C31" s="65"/>
      <c r="D31" s="65"/>
      <c r="E31" s="66"/>
      <c r="F31" s="67">
        <v>200</v>
      </c>
      <c r="G31" s="68"/>
    </row>
    <row r="32" spans="1:7" ht="15.75" thickBot="1" x14ac:dyDescent="0.3"/>
    <row r="33" spans="2:7" ht="15.75" thickBot="1" x14ac:dyDescent="0.3">
      <c r="B33" s="69" t="s">
        <v>20</v>
      </c>
      <c r="C33" s="70"/>
      <c r="D33" s="71" t="s">
        <v>21</v>
      </c>
      <c r="E33" s="72"/>
      <c r="F33" s="69" t="s">
        <v>22</v>
      </c>
      <c r="G33" s="70"/>
    </row>
    <row r="34" spans="2:7" x14ac:dyDescent="0.25">
      <c r="B34" s="2" t="s">
        <v>23</v>
      </c>
      <c r="C34" s="2"/>
      <c r="D34" s="4">
        <f>VLOOKUP($F$30&amp;"-"&amp;B34,Planilha2!$A:$D,4,FALSE)</f>
        <v>0.3</v>
      </c>
      <c r="E34" s="4"/>
      <c r="F34" s="83">
        <f>$F$31*D34</f>
        <v>60</v>
      </c>
      <c r="G34" s="2"/>
    </row>
    <row r="35" spans="2:7" x14ac:dyDescent="0.25">
      <c r="B35" s="2" t="s">
        <v>24</v>
      </c>
      <c r="C35" s="2"/>
      <c r="D35" s="4">
        <f>VLOOKUP($F$30&amp;"-"&amp;B35,Planilha2!$A:$D,4,FALSE)</f>
        <v>0.5</v>
      </c>
      <c r="E35" s="4"/>
      <c r="F35" s="83">
        <f t="shared" ref="F35:F39" si="2">$F$31*D35</f>
        <v>100</v>
      </c>
      <c r="G35" s="2"/>
    </row>
    <row r="36" spans="2:7" x14ac:dyDescent="0.25">
      <c r="B36" s="2" t="s">
        <v>31</v>
      </c>
      <c r="C36" s="2"/>
      <c r="D36" s="4">
        <f>VLOOKUP($F$30&amp;"-"&amp;B36,Planilha2!$A:$D,4,FALSE)</f>
        <v>0.1</v>
      </c>
      <c r="E36" s="4"/>
      <c r="F36" s="83">
        <f t="shared" si="2"/>
        <v>20</v>
      </c>
      <c r="G36" s="2"/>
    </row>
    <row r="37" spans="2:7" x14ac:dyDescent="0.25">
      <c r="B37" s="2" t="s">
        <v>25</v>
      </c>
      <c r="C37" s="2"/>
      <c r="D37" s="4">
        <f>VLOOKUP($F$30&amp;"-"&amp;B37,Planilha2!$A:$D,4,FALSE)</f>
        <v>0.1</v>
      </c>
      <c r="E37" s="4"/>
      <c r="F37" s="83">
        <f t="shared" si="2"/>
        <v>20</v>
      </c>
      <c r="G37" s="2"/>
    </row>
    <row r="38" spans="2:7" x14ac:dyDescent="0.25">
      <c r="B38" s="2" t="s">
        <v>26</v>
      </c>
      <c r="C38" s="2"/>
      <c r="D38" s="4">
        <f>VLOOKUP($F$30&amp;"-"&amp;B38,Planilha2!$A:$D,4,FALSE)</f>
        <v>0</v>
      </c>
      <c r="E38" s="4"/>
      <c r="F38" s="83">
        <f t="shared" si="2"/>
        <v>0</v>
      </c>
      <c r="G38" s="2"/>
    </row>
    <row r="39" spans="2:7" x14ac:dyDescent="0.25">
      <c r="B39" s="2" t="s">
        <v>27</v>
      </c>
      <c r="C39" s="2"/>
      <c r="D39" s="4">
        <f>VLOOKUP($F$30&amp;"-"&amp;B39,Planilha2!$A:$D,4,FALSE)</f>
        <v>0</v>
      </c>
      <c r="E39" s="4"/>
      <c r="F39" s="83">
        <f t="shared" si="2"/>
        <v>0</v>
      </c>
      <c r="G39" s="2"/>
    </row>
    <row r="40" spans="2:7" x14ac:dyDescent="0.25">
      <c r="B40" s="73"/>
      <c r="C40" s="73"/>
      <c r="D40" s="73"/>
      <c r="E40" s="73"/>
      <c r="F40" s="84">
        <f>SUM(F34:G39)</f>
        <v>200</v>
      </c>
      <c r="G40" s="84"/>
    </row>
  </sheetData>
  <mergeCells count="63">
    <mergeCell ref="F38:G38"/>
    <mergeCell ref="F39:G39"/>
    <mergeCell ref="B40:E40"/>
    <mergeCell ref="F40:G40"/>
    <mergeCell ref="B38:C38"/>
    <mergeCell ref="B39:C39"/>
    <mergeCell ref="D35:E35"/>
    <mergeCell ref="D36:E36"/>
    <mergeCell ref="D37:E37"/>
    <mergeCell ref="D38:E38"/>
    <mergeCell ref="D39:E39"/>
    <mergeCell ref="B34:C34"/>
    <mergeCell ref="D34:E34"/>
    <mergeCell ref="F34:G34"/>
    <mergeCell ref="B35:C35"/>
    <mergeCell ref="B36:C36"/>
    <mergeCell ref="B37:C37"/>
    <mergeCell ref="F35:G35"/>
    <mergeCell ref="F36:G36"/>
    <mergeCell ref="F37:G37"/>
    <mergeCell ref="B30:E30"/>
    <mergeCell ref="F30:G30"/>
    <mergeCell ref="B31:E31"/>
    <mergeCell ref="F31:G31"/>
    <mergeCell ref="B33:C33"/>
    <mergeCell ref="D33:E33"/>
    <mergeCell ref="F33:G33"/>
    <mergeCell ref="F24:G24"/>
    <mergeCell ref="F25:G25"/>
    <mergeCell ref="F26:G26"/>
    <mergeCell ref="B25:C25"/>
    <mergeCell ref="B26:C26"/>
    <mergeCell ref="D22:E22"/>
    <mergeCell ref="D23:E23"/>
    <mergeCell ref="D24:E24"/>
    <mergeCell ref="D25:E25"/>
    <mergeCell ref="D26:E26"/>
    <mergeCell ref="B22:C22"/>
    <mergeCell ref="B23:C23"/>
    <mergeCell ref="B24:C24"/>
    <mergeCell ref="B18:E18"/>
    <mergeCell ref="B20:E21"/>
    <mergeCell ref="F20:G21"/>
    <mergeCell ref="F22:G22"/>
    <mergeCell ref="F23:G23"/>
    <mergeCell ref="B12:G13"/>
    <mergeCell ref="F18:G18"/>
    <mergeCell ref="F17:G17"/>
    <mergeCell ref="F16:G16"/>
    <mergeCell ref="F15:G15"/>
    <mergeCell ref="F14:G14"/>
    <mergeCell ref="B14:E14"/>
    <mergeCell ref="B15:E15"/>
    <mergeCell ref="B16:E16"/>
    <mergeCell ref="B17:E17"/>
    <mergeCell ref="A1:H4"/>
    <mergeCell ref="B6:G7"/>
    <mergeCell ref="F8:G8"/>
    <mergeCell ref="F9:G9"/>
    <mergeCell ref="F10:G10"/>
    <mergeCell ref="B8:E8"/>
    <mergeCell ref="B9:E9"/>
    <mergeCell ref="B10:E10"/>
  </mergeCells>
  <dataValidations count="1">
    <dataValidation type="list" allowBlank="1" showInputMessage="1" showErrorMessage="1" sqref="F30:G30" xr:uid="{F1EEB2C6-8F6C-459F-9AB7-CB8B78AF4993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C96C-DFA9-4CD0-B8E3-7D3BAF76AFCF}">
  <dimension ref="A1:D19"/>
  <sheetViews>
    <sheetView workbookViewId="0">
      <selection activeCell="C8" sqref="C8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4.5703125" bestFit="1" customWidth="1"/>
  </cols>
  <sheetData>
    <row r="1" spans="1:4" x14ac:dyDescent="0.25">
      <c r="A1" s="74" t="s">
        <v>28</v>
      </c>
      <c r="B1" s="74" t="s">
        <v>17</v>
      </c>
      <c r="C1" s="75" t="s">
        <v>20</v>
      </c>
      <c r="D1" s="75" t="s">
        <v>29</v>
      </c>
    </row>
    <row r="2" spans="1:4" x14ac:dyDescent="0.25">
      <c r="A2" t="str">
        <f>B2&amp;"-"&amp;C2</f>
        <v>Conservador-PAPEL</v>
      </c>
      <c r="B2" t="s">
        <v>30</v>
      </c>
      <c r="C2" s="1" t="s">
        <v>23</v>
      </c>
      <c r="D2" s="76">
        <v>0.3</v>
      </c>
    </row>
    <row r="3" spans="1:4" x14ac:dyDescent="0.25">
      <c r="A3" t="str">
        <f t="shared" ref="A3:A19" si="0">B3&amp;"-"&amp;C3</f>
        <v>Conservador-TIJOLO</v>
      </c>
      <c r="B3" t="s">
        <v>30</v>
      </c>
      <c r="C3" s="1" t="s">
        <v>24</v>
      </c>
      <c r="D3" s="76">
        <v>0.5</v>
      </c>
    </row>
    <row r="4" spans="1:4" x14ac:dyDescent="0.25">
      <c r="A4" t="str">
        <f t="shared" si="0"/>
        <v>Conservador-HÍBRIDOS</v>
      </c>
      <c r="B4" t="s">
        <v>30</v>
      </c>
      <c r="C4" s="1" t="s">
        <v>31</v>
      </c>
      <c r="D4" s="76">
        <v>0.1</v>
      </c>
    </row>
    <row r="5" spans="1:4" x14ac:dyDescent="0.25">
      <c r="A5" t="str">
        <f t="shared" si="0"/>
        <v>Conservador-FOFs</v>
      </c>
      <c r="B5" t="s">
        <v>30</v>
      </c>
      <c r="C5" s="1" t="s">
        <v>25</v>
      </c>
      <c r="D5" s="76">
        <v>0.1</v>
      </c>
    </row>
    <row r="6" spans="1:4" x14ac:dyDescent="0.25">
      <c r="A6" t="str">
        <f t="shared" si="0"/>
        <v>Conservador-DESENVOLVIMENTO</v>
      </c>
      <c r="B6" t="s">
        <v>30</v>
      </c>
      <c r="C6" s="1" t="s">
        <v>26</v>
      </c>
      <c r="D6" s="76">
        <v>0</v>
      </c>
    </row>
    <row r="7" spans="1:4" ht="15.75" thickBot="1" x14ac:dyDescent="0.3">
      <c r="A7" s="77" t="str">
        <f t="shared" si="0"/>
        <v>Conservador-HOTELARIA</v>
      </c>
      <c r="B7" s="77" t="s">
        <v>30</v>
      </c>
      <c r="C7" s="78" t="s">
        <v>27</v>
      </c>
      <c r="D7" s="79">
        <v>0</v>
      </c>
    </row>
    <row r="8" spans="1:4" x14ac:dyDescent="0.25">
      <c r="A8" t="str">
        <f t="shared" si="0"/>
        <v>Moderado-PAPEL</v>
      </c>
      <c r="B8" t="s">
        <v>32</v>
      </c>
      <c r="C8" s="1" t="s">
        <v>23</v>
      </c>
      <c r="D8" s="76">
        <v>0.32</v>
      </c>
    </row>
    <row r="9" spans="1:4" x14ac:dyDescent="0.25">
      <c r="A9" s="80" t="str">
        <f t="shared" si="0"/>
        <v>Moderado-TIJOLO</v>
      </c>
      <c r="B9" s="80" t="s">
        <v>32</v>
      </c>
      <c r="C9" s="81" t="s">
        <v>24</v>
      </c>
      <c r="D9" s="82">
        <v>0.35</v>
      </c>
    </row>
    <row r="10" spans="1:4" x14ac:dyDescent="0.25">
      <c r="A10" t="str">
        <f t="shared" si="0"/>
        <v>Moderado-HÍBRIDOS</v>
      </c>
      <c r="B10" t="s">
        <v>32</v>
      </c>
      <c r="C10" s="1" t="s">
        <v>31</v>
      </c>
      <c r="D10" s="76">
        <v>0.08</v>
      </c>
    </row>
    <row r="11" spans="1:4" x14ac:dyDescent="0.25">
      <c r="A11" t="str">
        <f t="shared" si="0"/>
        <v>Moderado-FOFs</v>
      </c>
      <c r="B11" t="s">
        <v>32</v>
      </c>
      <c r="C11" s="1" t="s">
        <v>25</v>
      </c>
      <c r="D11" s="76">
        <v>0.05</v>
      </c>
    </row>
    <row r="12" spans="1:4" x14ac:dyDescent="0.25">
      <c r="A12" t="str">
        <f t="shared" si="0"/>
        <v>Moderado-DESENVOLVIMENTO</v>
      </c>
      <c r="B12" t="s">
        <v>32</v>
      </c>
      <c r="C12" s="1" t="s">
        <v>26</v>
      </c>
      <c r="D12" s="76">
        <v>0.1</v>
      </c>
    </row>
    <row r="13" spans="1:4" ht="15.75" thickBot="1" x14ac:dyDescent="0.3">
      <c r="A13" s="77" t="str">
        <f t="shared" si="0"/>
        <v>Moderado-HOTELARIA</v>
      </c>
      <c r="B13" s="77" t="s">
        <v>32</v>
      </c>
      <c r="C13" s="78" t="s">
        <v>27</v>
      </c>
      <c r="D13" s="79">
        <v>0.1</v>
      </c>
    </row>
    <row r="14" spans="1:4" x14ac:dyDescent="0.25">
      <c r="A14" t="str">
        <f t="shared" si="0"/>
        <v>Agressivo-PAPEL</v>
      </c>
      <c r="B14" t="s">
        <v>33</v>
      </c>
      <c r="C14" s="1" t="s">
        <v>23</v>
      </c>
      <c r="D14" s="76">
        <v>0.5</v>
      </c>
    </row>
    <row r="15" spans="1:4" x14ac:dyDescent="0.25">
      <c r="A15" t="str">
        <f t="shared" si="0"/>
        <v>Agressivo-TIJOLO</v>
      </c>
      <c r="B15" t="s">
        <v>33</v>
      </c>
      <c r="C15" s="1" t="s">
        <v>24</v>
      </c>
      <c r="D15" s="76">
        <v>0.1</v>
      </c>
    </row>
    <row r="16" spans="1:4" x14ac:dyDescent="0.25">
      <c r="A16" t="str">
        <f t="shared" si="0"/>
        <v>Agressivo-HÍBRIDOS</v>
      </c>
      <c r="B16" t="s">
        <v>33</v>
      </c>
      <c r="C16" s="1" t="s">
        <v>31</v>
      </c>
      <c r="D16" s="76">
        <v>0.05</v>
      </c>
    </row>
    <row r="17" spans="1:4" x14ac:dyDescent="0.25">
      <c r="A17" t="str">
        <f t="shared" si="0"/>
        <v>Agressivo-FOFs</v>
      </c>
      <c r="B17" t="s">
        <v>33</v>
      </c>
      <c r="C17" s="1" t="s">
        <v>25</v>
      </c>
      <c r="D17" s="76">
        <v>0.05</v>
      </c>
    </row>
    <row r="18" spans="1:4" x14ac:dyDescent="0.25">
      <c r="A18" t="str">
        <f t="shared" si="0"/>
        <v>Agressivo-DESENVOLVIMENTO</v>
      </c>
      <c r="B18" t="s">
        <v>33</v>
      </c>
      <c r="C18" s="1" t="s">
        <v>26</v>
      </c>
      <c r="D18" s="76">
        <v>0.2</v>
      </c>
    </row>
    <row r="19" spans="1:4" x14ac:dyDescent="0.25">
      <c r="A19" t="str">
        <f t="shared" si="0"/>
        <v>Agressivo-HOTELARIA</v>
      </c>
      <c r="B19" t="s">
        <v>33</v>
      </c>
      <c r="C19" s="1" t="s">
        <v>27</v>
      </c>
      <c r="D19" s="7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Nakazato</dc:creator>
  <cp:lastModifiedBy>Daniel Nakazato</cp:lastModifiedBy>
  <dcterms:created xsi:type="dcterms:W3CDTF">2025-12-19T17:47:38Z</dcterms:created>
  <dcterms:modified xsi:type="dcterms:W3CDTF">2025-12-19T18:17:04Z</dcterms:modified>
</cp:coreProperties>
</file>